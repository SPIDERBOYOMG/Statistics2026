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Downloads\Telegram Desktop\"/>
    </mc:Choice>
  </mc:AlternateContent>
  <xr:revisionPtr revIDLastSave="0" documentId="13_ncr:1_{11D9ED1E-FF80-4393-AD7D-344933B0DF3D}" xr6:coauthVersionLast="47" xr6:coauthVersionMax="47" xr10:uidLastSave="{00000000-0000-0000-0000-000000000000}"/>
  <bookViews>
    <workbookView xWindow="1884" yWindow="1884" windowWidth="23040" windowHeight="12168" tabRatio="500" xr2:uid="{00000000-000D-0000-FFFF-FFFF00000000}"/>
  </bookViews>
  <sheets>
    <sheet name="Parameters" sheetId="1" r:id="rId1"/>
    <sheet name="Data" sheetId="2" r:id="rId2"/>
    <sheet name="Analysis" sheetId="3" r:id="rId3"/>
    <sheet name="Method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3" i="3" l="1"/>
  <c r="C23" i="3"/>
  <c r="E22" i="3"/>
  <c r="C22" i="3"/>
  <c r="E21" i="3"/>
  <c r="C21" i="3"/>
  <c r="C20" i="3"/>
  <c r="C24" i="3" s="1"/>
  <c r="D12" i="3"/>
  <c r="C12" i="3"/>
  <c r="E12" i="3" s="1"/>
  <c r="D11" i="3"/>
  <c r="C11" i="3"/>
  <c r="E11" i="3" s="1"/>
  <c r="C10" i="3"/>
  <c r="C9" i="3"/>
  <c r="D6" i="3"/>
  <c r="D5" i="3"/>
  <c r="C5" i="3"/>
  <c r="E5" i="3" s="1"/>
  <c r="D4" i="3"/>
  <c r="E61" i="2"/>
  <c r="D61" i="2"/>
  <c r="F61" i="2" s="1"/>
  <c r="E60" i="2"/>
  <c r="D60" i="2"/>
  <c r="F60" i="2" s="1"/>
  <c r="E59" i="2"/>
  <c r="D59" i="2"/>
  <c r="F59" i="2" s="1"/>
  <c r="E58" i="2"/>
  <c r="F58" i="2" s="1"/>
  <c r="D58" i="2"/>
  <c r="E57" i="2"/>
  <c r="D57" i="2"/>
  <c r="F57" i="2" s="1"/>
  <c r="E56" i="2"/>
  <c r="D56" i="2"/>
  <c r="F56" i="2" s="1"/>
  <c r="E55" i="2"/>
  <c r="D55" i="2"/>
  <c r="F55" i="2" s="1"/>
  <c r="E54" i="2"/>
  <c r="D54" i="2"/>
  <c r="F54" i="2" s="1"/>
  <c r="E53" i="2"/>
  <c r="D53" i="2"/>
  <c r="F53" i="2" s="1"/>
  <c r="E52" i="2"/>
  <c r="F52" i="2" s="1"/>
  <c r="D52" i="2"/>
  <c r="E51" i="2"/>
  <c r="F51" i="2" s="1"/>
  <c r="D51" i="2"/>
  <c r="E50" i="2"/>
  <c r="F50" i="2" s="1"/>
  <c r="D50" i="2"/>
  <c r="E49" i="2"/>
  <c r="D49" i="2"/>
  <c r="F49" i="2" s="1"/>
  <c r="E48" i="2"/>
  <c r="F48" i="2" s="1"/>
  <c r="D48" i="2"/>
  <c r="F47" i="2"/>
  <c r="E47" i="2"/>
  <c r="D47" i="2"/>
  <c r="E46" i="2"/>
  <c r="D46" i="2"/>
  <c r="F46" i="2" s="1"/>
  <c r="E45" i="2"/>
  <c r="D45" i="2"/>
  <c r="F45" i="2" s="1"/>
  <c r="E44" i="2"/>
  <c r="F44" i="2" s="1"/>
  <c r="D44" i="2"/>
  <c r="F43" i="2"/>
  <c r="E43" i="2"/>
  <c r="D43" i="2"/>
  <c r="E42" i="2"/>
  <c r="D42" i="2"/>
  <c r="F42" i="2" s="1"/>
  <c r="F41" i="2"/>
  <c r="E41" i="2"/>
  <c r="D41" i="2"/>
  <c r="F40" i="2"/>
  <c r="E40" i="2"/>
  <c r="D40" i="2"/>
  <c r="F39" i="2"/>
  <c r="E39" i="2"/>
  <c r="D39" i="2"/>
  <c r="E38" i="2"/>
  <c r="D38" i="2"/>
  <c r="F38" i="2" s="1"/>
  <c r="E37" i="2"/>
  <c r="D37" i="2"/>
  <c r="F37" i="2" s="1"/>
  <c r="E36" i="2"/>
  <c r="D36" i="2"/>
  <c r="F36" i="2" s="1"/>
  <c r="E35" i="2"/>
  <c r="D35" i="2"/>
  <c r="F35" i="2" s="1"/>
  <c r="E34" i="2"/>
  <c r="D34" i="2"/>
  <c r="F34" i="2" s="1"/>
  <c r="E33" i="2"/>
  <c r="D33" i="2"/>
  <c r="F33" i="2" s="1"/>
  <c r="E32" i="2"/>
  <c r="D32" i="2"/>
  <c r="F32" i="2" s="1"/>
  <c r="E31" i="2"/>
  <c r="D31" i="2"/>
  <c r="F31" i="2" s="1"/>
  <c r="E30" i="2"/>
  <c r="D30" i="2"/>
  <c r="F30" i="2" s="1"/>
  <c r="E29" i="2"/>
  <c r="D29" i="2"/>
  <c r="F29" i="2" s="1"/>
  <c r="E28" i="2"/>
  <c r="D28" i="2"/>
  <c r="F28" i="2" s="1"/>
  <c r="E27" i="2"/>
  <c r="D27" i="2"/>
  <c r="F27" i="2" s="1"/>
  <c r="E26" i="2"/>
  <c r="F26" i="2" s="1"/>
  <c r="D26" i="2"/>
  <c r="E25" i="2"/>
  <c r="F25" i="2" s="1"/>
  <c r="D25" i="2"/>
  <c r="E24" i="2"/>
  <c r="D24" i="2"/>
  <c r="F24" i="2" s="1"/>
  <c r="E23" i="2"/>
  <c r="D23" i="2"/>
  <c r="F23" i="2" s="1"/>
  <c r="E22" i="2"/>
  <c r="F22" i="2" s="1"/>
  <c r="D22" i="2"/>
  <c r="E21" i="2"/>
  <c r="D21" i="2"/>
  <c r="F21" i="2" s="1"/>
  <c r="E20" i="2"/>
  <c r="F20" i="2" s="1"/>
  <c r="D20" i="2"/>
  <c r="E19" i="2"/>
  <c r="F19" i="2" s="1"/>
  <c r="D19" i="2"/>
  <c r="E18" i="2"/>
  <c r="F18" i="2" s="1"/>
  <c r="D18" i="2"/>
  <c r="E17" i="2"/>
  <c r="D17" i="2"/>
  <c r="F17" i="2" s="1"/>
  <c r="E16" i="2"/>
  <c r="D16" i="2"/>
  <c r="F16" i="2" s="1"/>
  <c r="F15" i="2"/>
  <c r="E15" i="2"/>
  <c r="D15" i="2"/>
  <c r="E14" i="2"/>
  <c r="D14" i="2"/>
  <c r="F14" i="2" s="1"/>
  <c r="E13" i="2"/>
  <c r="D13" i="2"/>
  <c r="F13" i="2" s="1"/>
  <c r="E12" i="2"/>
  <c r="F12" i="2" s="1"/>
  <c r="D12" i="2"/>
  <c r="F11" i="2"/>
  <c r="E11" i="2"/>
  <c r="D11" i="2"/>
  <c r="E10" i="2"/>
  <c r="D10" i="2"/>
  <c r="C7" i="3" s="1"/>
  <c r="E7" i="3" s="1"/>
  <c r="F9" i="2"/>
  <c r="E9" i="2"/>
  <c r="D9" i="2"/>
  <c r="F8" i="2"/>
  <c r="E8" i="2"/>
  <c r="D8" i="2"/>
  <c r="E7" i="2"/>
  <c r="D7" i="2"/>
  <c r="F7" i="2" s="1"/>
  <c r="E6" i="2"/>
  <c r="D6" i="2"/>
  <c r="F6" i="2" s="1"/>
  <c r="E5" i="2"/>
  <c r="D5" i="2"/>
  <c r="F5" i="2" s="1"/>
  <c r="E4" i="2"/>
  <c r="D4" i="2"/>
  <c r="F4" i="2" s="1"/>
  <c r="E3" i="2"/>
  <c r="D3" i="2"/>
  <c r="F3" i="2" s="1"/>
  <c r="E2" i="2"/>
  <c r="C6" i="3" s="1"/>
  <c r="E6" i="3" s="1"/>
  <c r="D2" i="2"/>
  <c r="C4" i="3" s="1"/>
  <c r="C17" i="1"/>
  <c r="D10" i="3" s="1"/>
  <c r="C16" i="1"/>
  <c r="D9" i="3" s="1"/>
  <c r="C15" i="1"/>
  <c r="D7" i="3" s="1"/>
  <c r="C14" i="1"/>
  <c r="C13" i="1"/>
  <c r="E20" i="3" s="1"/>
  <c r="C12" i="1"/>
  <c r="C11" i="1"/>
  <c r="C10" i="1"/>
  <c r="E4" i="3" l="1"/>
  <c r="E10" i="3"/>
  <c r="F22" i="3"/>
  <c r="E24" i="3"/>
  <c r="F20" i="3"/>
  <c r="D21" i="3"/>
  <c r="F21" i="3"/>
  <c r="D22" i="3"/>
  <c r="D23" i="3"/>
  <c r="F23" i="3"/>
  <c r="D8" i="3"/>
  <c r="F2" i="2"/>
  <c r="C15" i="3" s="1"/>
  <c r="E9" i="3"/>
  <c r="C8" i="3"/>
  <c r="E8" i="3" s="1"/>
  <c r="D20" i="3"/>
  <c r="D24" i="3" s="1"/>
  <c r="F10" i="2"/>
  <c r="F24" i="3" l="1"/>
  <c r="C14" i="3"/>
</calcChain>
</file>

<file path=xl/sharedStrings.xml><?xml version="1.0" encoding="utf-8"?>
<sst xmlns="http://schemas.openxmlformats.org/spreadsheetml/2006/main" count="86" uniqueCount="81">
  <si>
    <t>DATA ARE SIMULATED (no real data set used). Seed 2026, Python numpy default_rng.</t>
  </si>
  <si>
    <t>Symbol</t>
  </si>
  <si>
    <t>Meaning</t>
  </si>
  <si>
    <t>Value</t>
  </si>
  <si>
    <t>N</t>
  </si>
  <si>
    <t>Balls in the urn</t>
  </si>
  <si>
    <t>K</t>
  </si>
  <si>
    <t>Red balls (balls 1–3 are red, 4–6 blue)</t>
  </si>
  <si>
    <t>n</t>
  </si>
  <si>
    <t>Number of independent experiments (pairs)</t>
  </si>
  <si>
    <t>Theory (Part A–B)</t>
  </si>
  <si>
    <t>Formula</t>
  </si>
  <si>
    <t>p = K/N</t>
  </si>
  <si>
    <t>K/N</t>
  </si>
  <si>
    <t>P(X1=1,X2=1)</t>
  </si>
  <si>
    <t>K(K−1)/(N(N−1))</t>
  </si>
  <si>
    <t>P(X1=1,X2=0)=P(X1=0,X2=1)</t>
  </si>
  <si>
    <t>K(N−K)/(N(N−1))</t>
  </si>
  <si>
    <t>P(X1=0,X2=0)</t>
  </si>
  <si>
    <t>(N−K)(N−K−1)/(N(N−1))</t>
  </si>
  <si>
    <t>E(X1)=E(X2)</t>
  </si>
  <si>
    <t>Var(X1)=Var(X2)</t>
  </si>
  <si>
    <t>pq = K(N−K)/N²</t>
  </si>
  <si>
    <t>Cov(X1,X2)</t>
  </si>
  <si>
    <t>−K(N−K)/(N²(N−1))</t>
  </si>
  <si>
    <t>ρ(X1,X2)</t>
  </si>
  <si>
    <t>−1/(N−1)</t>
  </si>
  <si>
    <t>Trial</t>
  </si>
  <si>
    <t>Ball drawn 1st (label 1–6)</t>
  </si>
  <si>
    <t>Ball drawn 2nd (label 1–6)</t>
  </si>
  <si>
    <t>X1 = 1 if 1st ball red</t>
  </si>
  <si>
    <t>X2 = 1 if 2nd ball red</t>
  </si>
  <si>
    <t>X1·X2</t>
  </si>
  <si>
    <t>SIMULATED data. Each row = a fresh urn (6 balls, 3 red), two balls drawn without replacement; balls in one row are always different.</t>
  </si>
  <si>
    <t>Sample statistics vs theory</t>
  </si>
  <si>
    <t>Quantity</t>
  </si>
  <si>
    <t>Excel formula used</t>
  </si>
  <si>
    <t>Sample (x̄, s², sxy, r)</t>
  </si>
  <si>
    <t>Theory (population)</t>
  </si>
  <si>
    <t>Difference</t>
  </si>
  <si>
    <t>Number of pairs n</t>
  </si>
  <si>
    <t>COUNT</t>
  </si>
  <si>
    <t>Mean of X1</t>
  </si>
  <si>
    <t>AVERAGE</t>
  </si>
  <si>
    <t>Mean of X2</t>
  </si>
  <si>
    <t>Variance of X1 (s²)</t>
  </si>
  <si>
    <t>VAR.S</t>
  </si>
  <si>
    <t>Variance of X2 (s²)</t>
  </si>
  <si>
    <t>Covariance sxy</t>
  </si>
  <si>
    <t>COVARIANCE.S</t>
  </si>
  <si>
    <t>Correlation r</t>
  </si>
  <si>
    <t>CORREL</t>
  </si>
  <si>
    <t>P(X2=1 | X1=1) (empirical)</t>
  </si>
  <si>
    <t>COUNTIFS / COUNTIF</t>
  </si>
  <si>
    <t>P(X2=1 | X1=0) (empirical)</t>
  </si>
  <si>
    <t>Check: r = sxy / (s1·s2)</t>
  </si>
  <si>
    <t>Check: sxy via (Σx1x2 − n·x̄1·x̄2)/(n−1)</t>
  </si>
  <si>
    <t>Note: theory columns are population values derived in Parts A–B; sample statistics vary from sample to sample.</t>
  </si>
  <si>
    <t>Joint frequency table (observed vs expected under the model)</t>
  </si>
  <si>
    <t>X1</t>
  </si>
  <si>
    <t>X2</t>
  </si>
  <si>
    <t>Observed count</t>
  </si>
  <si>
    <t>Observed proportion</t>
  </si>
  <si>
    <t>Theory P(x1,x2)</t>
  </si>
  <si>
    <t>Expected count (n·P)</t>
  </si>
  <si>
    <t>Total</t>
  </si>
  <si>
    <t>HOW THE DATA WERE GENERATED (simulated, reproducible)</t>
  </si>
  <si>
    <t>1. Urn: 6 balls labelled 1–6; balls 1, 2, 3 are red, 4, 5, 6 are blue (N = 6, K = 3).</t>
  </si>
  <si>
    <t>2. One experiment: draw 2 balls without replacement; record X1 = 1 if the 1st is red, X2 = 1 if the 2nd is red.</t>
  </si>
  <si>
    <t>3. Repeat n = 60 times with a fresh full urn each time, so the 60 pairs are independent of each other.</t>
  </si>
  <si>
    <t>Python (numpy) used:</t>
  </si>
  <si>
    <t xml:space="preserve">  rng = np.random.default_rng(2026)</t>
  </si>
  <si>
    <t xml:space="preserve">  for t in range(60): d = rng.choice(6, size=2, replace=False)   # ball labels = d+1</t>
  </si>
  <si>
    <t>Pure-Excel alternative (new random data each recalculation):</t>
  </si>
  <si>
    <t xml:space="preserve">  Ball 1 (cell B2):  =RANDBETWEEN(1,6)</t>
  </si>
  <si>
    <t xml:space="preserve">  Ball 2 (cell C2):  =IF(RANDBETWEEN(1,5)&gt;=B2, RANDBETWEEN(1,5)+1, RANDBETWEEN(1,5))  -&gt; use ONE helper cell r=RANDBETWEEN(1,5) in a spare column:</t>
  </si>
  <si>
    <t xml:space="preserve">                     =IF(r&gt;=B2, r+1, r)    (r is one of the 5 remaining balls, so ball 2 ≠ ball 1)</t>
  </si>
  <si>
    <t xml:space="preserve">  Press F9 to redraw. Copy → Paste Special → Values to freeze a sample before analysing it.</t>
  </si>
  <si>
    <t>Source statement: no real-world data set was used; every pair is simulated from the model itself.</t>
  </si>
  <si>
    <t>Scope: only descriptive comparison with the exact values of Part A–B (no estimation or tests).</t>
  </si>
  <si>
    <t>Topic 5 – Two draws without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</si>
</sst>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C0000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68"/>
        <bgColor rgb="FF33339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7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7BCA"/>
      <rgbColor rgb="FF33CCCC"/>
      <rgbColor rgb="FF99CC00"/>
      <rgbColor rgb="FFFFCC00"/>
      <rgbColor rgb="FFFF9900"/>
      <rgbColor rgb="FFFF6600"/>
      <rgbColor rgb="FF666699"/>
      <rgbColor rgb="FF969696"/>
      <rgbColor rgb="FF1F3A68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Scatter of (X1, X2): bubble size = number of trials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ubbleChart>
        <c:varyColors val="0"/>
        <c:ser>
          <c:idx val="0"/>
          <c:order val="0"/>
          <c:tx>
            <c:v>Observed</c:v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Analysis!$A$20:$A$23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xVal>
          <c:yVal>
            <c:numRef>
              <c:f>Analysis!$B$20:$B$23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yVal>
          <c:bubbleSize>
            <c:numRef>
              <c:f>Analysis!$C$20:$C$23</c:f>
              <c:numCache>
                <c:formatCode>General</c:formatCode>
                <c:ptCount val="4"/>
                <c:pt idx="0">
                  <c:v>11</c:v>
                </c:pt>
                <c:pt idx="1">
                  <c:v>16</c:v>
                </c:pt>
                <c:pt idx="2">
                  <c:v>19</c:v>
                </c:pt>
                <c:pt idx="3">
                  <c:v>14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E2D-4E8F-B13A-45DE997DE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29226867"/>
        <c:axId val="79936627"/>
      </c:bubbleChart>
      <c:valAx>
        <c:axId val="29226867"/>
        <c:scaling>
          <c:orientation val="minMax"/>
          <c:max val="1.5"/>
          <c:min val="-0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X1 (1st ball red)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936627"/>
        <c:crosses val="autoZero"/>
        <c:crossBetween val="midCat"/>
        <c:majorUnit val="1"/>
      </c:valAx>
      <c:valAx>
        <c:axId val="79936627"/>
        <c:scaling>
          <c:orientation val="minMax"/>
          <c:max val="1.5"/>
          <c:min val="-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X2 (2nd ball red)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26867"/>
        <c:crosses val="autoZero"/>
        <c:crossBetween val="midCat"/>
        <c:majorUnit val="1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14</xdr:col>
      <xdr:colOff>398880</xdr:colOff>
      <xdr:row>18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Normal="100" workbookViewId="0">
      <selection activeCell="G13" sqref="G13"/>
    </sheetView>
  </sheetViews>
  <sheetFormatPr defaultColWidth="8.6640625" defaultRowHeight="14.4" x14ac:dyDescent="0.3"/>
  <cols>
    <col min="1" max="1" width="30" customWidth="1"/>
    <col min="2" max="2" width="44" customWidth="1"/>
    <col min="3" max="3" width="12" customWidth="1"/>
  </cols>
  <sheetData>
    <row r="1" spans="1:3" ht="17.399999999999999" x14ac:dyDescent="0.3">
      <c r="A1" s="1" t="s">
        <v>80</v>
      </c>
    </row>
    <row r="2" spans="1:3" x14ac:dyDescent="0.3">
      <c r="A2" s="2" t="s">
        <v>0</v>
      </c>
    </row>
    <row r="4" spans="1:3" x14ac:dyDescent="0.3">
      <c r="A4" s="3" t="s">
        <v>1</v>
      </c>
      <c r="B4" s="3" t="s">
        <v>2</v>
      </c>
      <c r="C4" s="3" t="s">
        <v>3</v>
      </c>
    </row>
    <row r="5" spans="1:3" x14ac:dyDescent="0.3">
      <c r="A5" s="4" t="s">
        <v>4</v>
      </c>
      <c r="B5" s="5" t="s">
        <v>5</v>
      </c>
      <c r="C5" s="6">
        <v>6</v>
      </c>
    </row>
    <row r="6" spans="1:3" x14ac:dyDescent="0.3">
      <c r="A6" s="4" t="s">
        <v>6</v>
      </c>
      <c r="B6" s="5" t="s">
        <v>7</v>
      </c>
      <c r="C6" s="6">
        <v>3</v>
      </c>
    </row>
    <row r="7" spans="1:3" x14ac:dyDescent="0.3">
      <c r="A7" s="4" t="s">
        <v>8</v>
      </c>
      <c r="B7" s="5" t="s">
        <v>9</v>
      </c>
      <c r="C7" s="6">
        <v>60</v>
      </c>
    </row>
    <row r="9" spans="1:3" x14ac:dyDescent="0.3">
      <c r="A9" s="3" t="s">
        <v>10</v>
      </c>
      <c r="B9" s="3" t="s">
        <v>11</v>
      </c>
      <c r="C9" s="3" t="s">
        <v>3</v>
      </c>
    </row>
    <row r="10" spans="1:3" x14ac:dyDescent="0.3">
      <c r="A10" s="5" t="s">
        <v>12</v>
      </c>
      <c r="B10" s="5" t="s">
        <v>13</v>
      </c>
      <c r="C10" s="7">
        <f>C6/C5</f>
        <v>0.5</v>
      </c>
    </row>
    <row r="11" spans="1:3" x14ac:dyDescent="0.3">
      <c r="A11" s="5" t="s">
        <v>14</v>
      </c>
      <c r="B11" s="5" t="s">
        <v>15</v>
      </c>
      <c r="C11" s="7">
        <f>C6*(C6-1)/(C5*(C5-1))</f>
        <v>0.2</v>
      </c>
    </row>
    <row r="12" spans="1:3" x14ac:dyDescent="0.3">
      <c r="A12" s="5" t="s">
        <v>16</v>
      </c>
      <c r="B12" s="5" t="s">
        <v>17</v>
      </c>
      <c r="C12" s="7">
        <f>C6*(C5-C6)/(C5*(C5-1))</f>
        <v>0.3</v>
      </c>
    </row>
    <row r="13" spans="1:3" x14ac:dyDescent="0.3">
      <c r="A13" s="5" t="s">
        <v>18</v>
      </c>
      <c r="B13" s="5" t="s">
        <v>19</v>
      </c>
      <c r="C13" s="7">
        <f>(C5-C6)*(C5-C6-1)/(C5*(C5-1))</f>
        <v>0.2</v>
      </c>
    </row>
    <row r="14" spans="1:3" x14ac:dyDescent="0.3">
      <c r="A14" s="5" t="s">
        <v>20</v>
      </c>
      <c r="B14" s="5" t="s">
        <v>13</v>
      </c>
      <c r="C14" s="7">
        <f>C6/C5</f>
        <v>0.5</v>
      </c>
    </row>
    <row r="15" spans="1:3" x14ac:dyDescent="0.3">
      <c r="A15" s="5" t="s">
        <v>21</v>
      </c>
      <c r="B15" s="5" t="s">
        <v>22</v>
      </c>
      <c r="C15" s="7">
        <f>C6*(C5-C6)/C5^2</f>
        <v>0.25</v>
      </c>
    </row>
    <row r="16" spans="1:3" x14ac:dyDescent="0.3">
      <c r="A16" s="5" t="s">
        <v>23</v>
      </c>
      <c r="B16" s="5" t="s">
        <v>24</v>
      </c>
      <c r="C16" s="7">
        <f>-C6*(C5-C6)/(C5^2*(C5-1))</f>
        <v>-0.05</v>
      </c>
    </row>
    <row r="17" spans="1:3" x14ac:dyDescent="0.3">
      <c r="A17" s="5" t="s">
        <v>25</v>
      </c>
      <c r="B17" s="5" t="s">
        <v>26</v>
      </c>
      <c r="C17" s="7">
        <f>-1/(C5-1)</f>
        <v>-0.2</v>
      </c>
    </row>
    <row r="19" spans="1:3" x14ac:dyDescent="0.3">
      <c r="A19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5" width="18" customWidth="1"/>
    <col min="6" max="6" width="9" customWidth="1"/>
  </cols>
  <sheetData>
    <row r="1" spans="1:8" ht="45" customHeight="1" x14ac:dyDescent="0.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H1" s="2" t="s">
        <v>33</v>
      </c>
    </row>
    <row r="2" spans="1:8" x14ac:dyDescent="0.3">
      <c r="A2" s="9">
        <v>1</v>
      </c>
      <c r="B2" s="10">
        <v>2</v>
      </c>
      <c r="C2" s="10">
        <v>5</v>
      </c>
      <c r="D2" s="9">
        <f>IF(B2&lt;=Parameters!$C$6,1,0)</f>
        <v>1</v>
      </c>
      <c r="E2" s="9">
        <f>IF(C2&lt;=Parameters!$C$6,1,0)</f>
        <v>0</v>
      </c>
      <c r="F2" s="9">
        <f t="shared" ref="F2:F33" si="0">D2*E2</f>
        <v>0</v>
      </c>
    </row>
    <row r="3" spans="1:8" x14ac:dyDescent="0.3">
      <c r="A3" s="9">
        <v>2</v>
      </c>
      <c r="B3" s="10">
        <v>3</v>
      </c>
      <c r="C3" s="10">
        <v>4</v>
      </c>
      <c r="D3" s="9">
        <f>IF(B3&lt;=Parameters!$C$6,1,0)</f>
        <v>1</v>
      </c>
      <c r="E3" s="9">
        <f>IF(C3&lt;=Parameters!$C$6,1,0)</f>
        <v>0</v>
      </c>
      <c r="F3" s="9">
        <f t="shared" si="0"/>
        <v>0</v>
      </c>
    </row>
    <row r="4" spans="1:8" x14ac:dyDescent="0.3">
      <c r="A4" s="9">
        <v>3</v>
      </c>
      <c r="B4" s="10">
        <v>1</v>
      </c>
      <c r="C4" s="10">
        <v>3</v>
      </c>
      <c r="D4" s="9">
        <f>IF(B4&lt;=Parameters!$C$6,1,0)</f>
        <v>1</v>
      </c>
      <c r="E4" s="9">
        <f>IF(C4&lt;=Parameters!$C$6,1,0)</f>
        <v>1</v>
      </c>
      <c r="F4" s="9">
        <f t="shared" si="0"/>
        <v>1</v>
      </c>
    </row>
    <row r="5" spans="1:8" x14ac:dyDescent="0.3">
      <c r="A5" s="9">
        <v>4</v>
      </c>
      <c r="B5" s="10">
        <v>2</v>
      </c>
      <c r="C5" s="10">
        <v>5</v>
      </c>
      <c r="D5" s="9">
        <f>IF(B5&lt;=Parameters!$C$6,1,0)</f>
        <v>1</v>
      </c>
      <c r="E5" s="9">
        <f>IF(C5&lt;=Parameters!$C$6,1,0)</f>
        <v>0</v>
      </c>
      <c r="F5" s="9">
        <f t="shared" si="0"/>
        <v>0</v>
      </c>
    </row>
    <row r="6" spans="1:8" x14ac:dyDescent="0.3">
      <c r="A6" s="9">
        <v>5</v>
      </c>
      <c r="B6" s="10">
        <v>4</v>
      </c>
      <c r="C6" s="10">
        <v>6</v>
      </c>
      <c r="D6" s="9">
        <f>IF(B6&lt;=Parameters!$C$6,1,0)</f>
        <v>0</v>
      </c>
      <c r="E6" s="9">
        <f>IF(C6&lt;=Parameters!$C$6,1,0)</f>
        <v>0</v>
      </c>
      <c r="F6" s="9">
        <f t="shared" si="0"/>
        <v>0</v>
      </c>
    </row>
    <row r="7" spans="1:8" x14ac:dyDescent="0.3">
      <c r="A7" s="9">
        <v>6</v>
      </c>
      <c r="B7" s="10">
        <v>1</v>
      </c>
      <c r="C7" s="10">
        <v>6</v>
      </c>
      <c r="D7" s="9">
        <f>IF(B7&lt;=Parameters!$C$6,1,0)</f>
        <v>1</v>
      </c>
      <c r="E7" s="9">
        <f>IF(C7&lt;=Parameters!$C$6,1,0)</f>
        <v>0</v>
      </c>
      <c r="F7" s="9">
        <f t="shared" si="0"/>
        <v>0</v>
      </c>
    </row>
    <row r="8" spans="1:8" x14ac:dyDescent="0.3">
      <c r="A8" s="9">
        <v>7</v>
      </c>
      <c r="B8" s="10">
        <v>2</v>
      </c>
      <c r="C8" s="10">
        <v>1</v>
      </c>
      <c r="D8" s="9">
        <f>IF(B8&lt;=Parameters!$C$6,1,0)</f>
        <v>1</v>
      </c>
      <c r="E8" s="9">
        <f>IF(C8&lt;=Parameters!$C$6,1,0)</f>
        <v>1</v>
      </c>
      <c r="F8" s="9">
        <f t="shared" si="0"/>
        <v>1</v>
      </c>
    </row>
    <row r="9" spans="1:8" x14ac:dyDescent="0.3">
      <c r="A9" s="9">
        <v>8</v>
      </c>
      <c r="B9" s="10">
        <v>5</v>
      </c>
      <c r="C9" s="10">
        <v>6</v>
      </c>
      <c r="D9" s="9">
        <f>IF(B9&lt;=Parameters!$C$6,1,0)</f>
        <v>0</v>
      </c>
      <c r="E9" s="9">
        <f>IF(C9&lt;=Parameters!$C$6,1,0)</f>
        <v>0</v>
      </c>
      <c r="F9" s="9">
        <f t="shared" si="0"/>
        <v>0</v>
      </c>
    </row>
    <row r="10" spans="1:8" x14ac:dyDescent="0.3">
      <c r="A10" s="9">
        <v>9</v>
      </c>
      <c r="B10" s="10">
        <v>2</v>
      </c>
      <c r="C10" s="10">
        <v>4</v>
      </c>
      <c r="D10" s="9">
        <f>IF(B10&lt;=Parameters!$C$6,1,0)</f>
        <v>1</v>
      </c>
      <c r="E10" s="9">
        <f>IF(C10&lt;=Parameters!$C$6,1,0)</f>
        <v>0</v>
      </c>
      <c r="F10" s="9">
        <f t="shared" si="0"/>
        <v>0</v>
      </c>
    </row>
    <row r="11" spans="1:8" x14ac:dyDescent="0.3">
      <c r="A11" s="9">
        <v>10</v>
      </c>
      <c r="B11" s="10">
        <v>4</v>
      </c>
      <c r="C11" s="10">
        <v>1</v>
      </c>
      <c r="D11" s="9">
        <f>IF(B11&lt;=Parameters!$C$6,1,0)</f>
        <v>0</v>
      </c>
      <c r="E11" s="9">
        <f>IF(C11&lt;=Parameters!$C$6,1,0)</f>
        <v>1</v>
      </c>
      <c r="F11" s="9">
        <f t="shared" si="0"/>
        <v>0</v>
      </c>
    </row>
    <row r="12" spans="1:8" x14ac:dyDescent="0.3">
      <c r="A12" s="9">
        <v>11</v>
      </c>
      <c r="B12" s="10">
        <v>4</v>
      </c>
      <c r="C12" s="10">
        <v>5</v>
      </c>
      <c r="D12" s="9">
        <f>IF(B12&lt;=Parameters!$C$6,1,0)</f>
        <v>0</v>
      </c>
      <c r="E12" s="9">
        <f>IF(C12&lt;=Parameters!$C$6,1,0)</f>
        <v>0</v>
      </c>
      <c r="F12" s="9">
        <f t="shared" si="0"/>
        <v>0</v>
      </c>
    </row>
    <row r="13" spans="1:8" x14ac:dyDescent="0.3">
      <c r="A13" s="9">
        <v>12</v>
      </c>
      <c r="B13" s="10">
        <v>6</v>
      </c>
      <c r="C13" s="10">
        <v>3</v>
      </c>
      <c r="D13" s="9">
        <f>IF(B13&lt;=Parameters!$C$6,1,0)</f>
        <v>0</v>
      </c>
      <c r="E13" s="9">
        <f>IF(C13&lt;=Parameters!$C$6,1,0)</f>
        <v>1</v>
      </c>
      <c r="F13" s="9">
        <f t="shared" si="0"/>
        <v>0</v>
      </c>
    </row>
    <row r="14" spans="1:8" x14ac:dyDescent="0.3">
      <c r="A14" s="9">
        <v>13</v>
      </c>
      <c r="B14" s="10">
        <v>2</v>
      </c>
      <c r="C14" s="10">
        <v>1</v>
      </c>
      <c r="D14" s="9">
        <f>IF(B14&lt;=Parameters!$C$6,1,0)</f>
        <v>1</v>
      </c>
      <c r="E14" s="9">
        <f>IF(C14&lt;=Parameters!$C$6,1,0)</f>
        <v>1</v>
      </c>
      <c r="F14" s="9">
        <f t="shared" si="0"/>
        <v>1</v>
      </c>
    </row>
    <row r="15" spans="1:8" x14ac:dyDescent="0.3">
      <c r="A15" s="9">
        <v>14</v>
      </c>
      <c r="B15" s="10">
        <v>2</v>
      </c>
      <c r="C15" s="10">
        <v>6</v>
      </c>
      <c r="D15" s="9">
        <f>IF(B15&lt;=Parameters!$C$6,1,0)</f>
        <v>1</v>
      </c>
      <c r="E15" s="9">
        <f>IF(C15&lt;=Parameters!$C$6,1,0)</f>
        <v>0</v>
      </c>
      <c r="F15" s="9">
        <f t="shared" si="0"/>
        <v>0</v>
      </c>
    </row>
    <row r="16" spans="1:8" x14ac:dyDescent="0.3">
      <c r="A16" s="9">
        <v>15</v>
      </c>
      <c r="B16" s="10">
        <v>3</v>
      </c>
      <c r="C16" s="10">
        <v>1</v>
      </c>
      <c r="D16" s="9">
        <f>IF(B16&lt;=Parameters!$C$6,1,0)</f>
        <v>1</v>
      </c>
      <c r="E16" s="9">
        <f>IF(C16&lt;=Parameters!$C$6,1,0)</f>
        <v>1</v>
      </c>
      <c r="F16" s="9">
        <f t="shared" si="0"/>
        <v>1</v>
      </c>
    </row>
    <row r="17" spans="1:6" x14ac:dyDescent="0.3">
      <c r="A17" s="9">
        <v>16</v>
      </c>
      <c r="B17" s="10">
        <v>5</v>
      </c>
      <c r="C17" s="10">
        <v>4</v>
      </c>
      <c r="D17" s="9">
        <f>IF(B17&lt;=Parameters!$C$6,1,0)</f>
        <v>0</v>
      </c>
      <c r="E17" s="9">
        <f>IF(C17&lt;=Parameters!$C$6,1,0)</f>
        <v>0</v>
      </c>
      <c r="F17" s="9">
        <f t="shared" si="0"/>
        <v>0</v>
      </c>
    </row>
    <row r="18" spans="1:6" x14ac:dyDescent="0.3">
      <c r="A18" s="9">
        <v>17</v>
      </c>
      <c r="B18" s="10">
        <v>3</v>
      </c>
      <c r="C18" s="10">
        <v>6</v>
      </c>
      <c r="D18" s="9">
        <f>IF(B18&lt;=Parameters!$C$6,1,0)</f>
        <v>1</v>
      </c>
      <c r="E18" s="9">
        <f>IF(C18&lt;=Parameters!$C$6,1,0)</f>
        <v>0</v>
      </c>
      <c r="F18" s="9">
        <f t="shared" si="0"/>
        <v>0</v>
      </c>
    </row>
    <row r="19" spans="1:6" x14ac:dyDescent="0.3">
      <c r="A19" s="9">
        <v>18</v>
      </c>
      <c r="B19" s="10">
        <v>1</v>
      </c>
      <c r="C19" s="10">
        <v>2</v>
      </c>
      <c r="D19" s="9">
        <f>IF(B19&lt;=Parameters!$C$6,1,0)</f>
        <v>1</v>
      </c>
      <c r="E19" s="9">
        <f>IF(C19&lt;=Parameters!$C$6,1,0)</f>
        <v>1</v>
      </c>
      <c r="F19" s="9">
        <f t="shared" si="0"/>
        <v>1</v>
      </c>
    </row>
    <row r="20" spans="1:6" x14ac:dyDescent="0.3">
      <c r="A20" s="9">
        <v>19</v>
      </c>
      <c r="B20" s="10">
        <v>4</v>
      </c>
      <c r="C20" s="10">
        <v>3</v>
      </c>
      <c r="D20" s="9">
        <f>IF(B20&lt;=Parameters!$C$6,1,0)</f>
        <v>0</v>
      </c>
      <c r="E20" s="9">
        <f>IF(C20&lt;=Parameters!$C$6,1,0)</f>
        <v>1</v>
      </c>
      <c r="F20" s="9">
        <f t="shared" si="0"/>
        <v>0</v>
      </c>
    </row>
    <row r="21" spans="1:6" x14ac:dyDescent="0.3">
      <c r="A21" s="9">
        <v>20</v>
      </c>
      <c r="B21" s="10">
        <v>4</v>
      </c>
      <c r="C21" s="10">
        <v>3</v>
      </c>
      <c r="D21" s="9">
        <f>IF(B21&lt;=Parameters!$C$6,1,0)</f>
        <v>0</v>
      </c>
      <c r="E21" s="9">
        <f>IF(C21&lt;=Parameters!$C$6,1,0)</f>
        <v>1</v>
      </c>
      <c r="F21" s="9">
        <f t="shared" si="0"/>
        <v>0</v>
      </c>
    </row>
    <row r="22" spans="1:6" x14ac:dyDescent="0.3">
      <c r="A22" s="9">
        <v>21</v>
      </c>
      <c r="B22" s="10">
        <v>5</v>
      </c>
      <c r="C22" s="10">
        <v>2</v>
      </c>
      <c r="D22" s="9">
        <f>IF(B22&lt;=Parameters!$C$6,1,0)</f>
        <v>0</v>
      </c>
      <c r="E22" s="9">
        <f>IF(C22&lt;=Parameters!$C$6,1,0)</f>
        <v>1</v>
      </c>
      <c r="F22" s="9">
        <f t="shared" si="0"/>
        <v>0</v>
      </c>
    </row>
    <row r="23" spans="1:6" x14ac:dyDescent="0.3">
      <c r="A23" s="9">
        <v>22</v>
      </c>
      <c r="B23" s="10">
        <v>5</v>
      </c>
      <c r="C23" s="10">
        <v>6</v>
      </c>
      <c r="D23" s="9">
        <f>IF(B23&lt;=Parameters!$C$6,1,0)</f>
        <v>0</v>
      </c>
      <c r="E23" s="9">
        <f>IF(C23&lt;=Parameters!$C$6,1,0)</f>
        <v>0</v>
      </c>
      <c r="F23" s="9">
        <f t="shared" si="0"/>
        <v>0</v>
      </c>
    </row>
    <row r="24" spans="1:6" x14ac:dyDescent="0.3">
      <c r="A24" s="9">
        <v>23</v>
      </c>
      <c r="B24" s="10">
        <v>4</v>
      </c>
      <c r="C24" s="10">
        <v>3</v>
      </c>
      <c r="D24" s="9">
        <f>IF(B24&lt;=Parameters!$C$6,1,0)</f>
        <v>0</v>
      </c>
      <c r="E24" s="9">
        <f>IF(C24&lt;=Parameters!$C$6,1,0)</f>
        <v>1</v>
      </c>
      <c r="F24" s="9">
        <f t="shared" si="0"/>
        <v>0</v>
      </c>
    </row>
    <row r="25" spans="1:6" x14ac:dyDescent="0.3">
      <c r="A25" s="9">
        <v>24</v>
      </c>
      <c r="B25" s="10">
        <v>2</v>
      </c>
      <c r="C25" s="10">
        <v>3</v>
      </c>
      <c r="D25" s="9">
        <f>IF(B25&lt;=Parameters!$C$6,1,0)</f>
        <v>1</v>
      </c>
      <c r="E25" s="9">
        <f>IF(C25&lt;=Parameters!$C$6,1,0)</f>
        <v>1</v>
      </c>
      <c r="F25" s="9">
        <f t="shared" si="0"/>
        <v>1</v>
      </c>
    </row>
    <row r="26" spans="1:6" x14ac:dyDescent="0.3">
      <c r="A26" s="9">
        <v>25</v>
      </c>
      <c r="B26" s="10">
        <v>4</v>
      </c>
      <c r="C26" s="10">
        <v>6</v>
      </c>
      <c r="D26" s="9">
        <f>IF(B26&lt;=Parameters!$C$6,1,0)</f>
        <v>0</v>
      </c>
      <c r="E26" s="9">
        <f>IF(C26&lt;=Parameters!$C$6,1,0)</f>
        <v>0</v>
      </c>
      <c r="F26" s="9">
        <f t="shared" si="0"/>
        <v>0</v>
      </c>
    </row>
    <row r="27" spans="1:6" x14ac:dyDescent="0.3">
      <c r="A27" s="9">
        <v>26</v>
      </c>
      <c r="B27" s="10">
        <v>3</v>
      </c>
      <c r="C27" s="10">
        <v>6</v>
      </c>
      <c r="D27" s="9">
        <f>IF(B27&lt;=Parameters!$C$6,1,0)</f>
        <v>1</v>
      </c>
      <c r="E27" s="9">
        <f>IF(C27&lt;=Parameters!$C$6,1,0)</f>
        <v>0</v>
      </c>
      <c r="F27" s="9">
        <f t="shared" si="0"/>
        <v>0</v>
      </c>
    </row>
    <row r="28" spans="1:6" x14ac:dyDescent="0.3">
      <c r="A28" s="9">
        <v>27</v>
      </c>
      <c r="B28" s="10">
        <v>2</v>
      </c>
      <c r="C28" s="10">
        <v>1</v>
      </c>
      <c r="D28" s="9">
        <f>IF(B28&lt;=Parameters!$C$6,1,0)</f>
        <v>1</v>
      </c>
      <c r="E28" s="9">
        <f>IF(C28&lt;=Parameters!$C$6,1,0)</f>
        <v>1</v>
      </c>
      <c r="F28" s="9">
        <f t="shared" si="0"/>
        <v>1</v>
      </c>
    </row>
    <row r="29" spans="1:6" x14ac:dyDescent="0.3">
      <c r="A29" s="9">
        <v>28</v>
      </c>
      <c r="B29" s="10">
        <v>3</v>
      </c>
      <c r="C29" s="10">
        <v>4</v>
      </c>
      <c r="D29" s="9">
        <f>IF(B29&lt;=Parameters!$C$6,1,0)</f>
        <v>1</v>
      </c>
      <c r="E29" s="9">
        <f>IF(C29&lt;=Parameters!$C$6,1,0)</f>
        <v>0</v>
      </c>
      <c r="F29" s="9">
        <f t="shared" si="0"/>
        <v>0</v>
      </c>
    </row>
    <row r="30" spans="1:6" x14ac:dyDescent="0.3">
      <c r="A30" s="9">
        <v>29</v>
      </c>
      <c r="B30" s="10">
        <v>2</v>
      </c>
      <c r="C30" s="10">
        <v>1</v>
      </c>
      <c r="D30" s="9">
        <f>IF(B30&lt;=Parameters!$C$6,1,0)</f>
        <v>1</v>
      </c>
      <c r="E30" s="9">
        <f>IF(C30&lt;=Parameters!$C$6,1,0)</f>
        <v>1</v>
      </c>
      <c r="F30" s="9">
        <f t="shared" si="0"/>
        <v>1</v>
      </c>
    </row>
    <row r="31" spans="1:6" x14ac:dyDescent="0.3">
      <c r="A31" s="9">
        <v>30</v>
      </c>
      <c r="B31" s="10">
        <v>3</v>
      </c>
      <c r="C31" s="10">
        <v>4</v>
      </c>
      <c r="D31" s="9">
        <f>IF(B31&lt;=Parameters!$C$6,1,0)</f>
        <v>1</v>
      </c>
      <c r="E31" s="9">
        <f>IF(C31&lt;=Parameters!$C$6,1,0)</f>
        <v>0</v>
      </c>
      <c r="F31" s="9">
        <f t="shared" si="0"/>
        <v>0</v>
      </c>
    </row>
    <row r="32" spans="1:6" x14ac:dyDescent="0.3">
      <c r="A32" s="9">
        <v>31</v>
      </c>
      <c r="B32" s="10">
        <v>6</v>
      </c>
      <c r="C32" s="10">
        <v>3</v>
      </c>
      <c r="D32" s="9">
        <f>IF(B32&lt;=Parameters!$C$6,1,0)</f>
        <v>0</v>
      </c>
      <c r="E32" s="9">
        <f>IF(C32&lt;=Parameters!$C$6,1,0)</f>
        <v>1</v>
      </c>
      <c r="F32" s="9">
        <f t="shared" si="0"/>
        <v>0</v>
      </c>
    </row>
    <row r="33" spans="1:6" x14ac:dyDescent="0.3">
      <c r="A33" s="9">
        <v>32</v>
      </c>
      <c r="B33" s="10">
        <v>4</v>
      </c>
      <c r="C33" s="10">
        <v>3</v>
      </c>
      <c r="D33" s="9">
        <f>IF(B33&lt;=Parameters!$C$6,1,0)</f>
        <v>0</v>
      </c>
      <c r="E33" s="9">
        <f>IF(C33&lt;=Parameters!$C$6,1,0)</f>
        <v>1</v>
      </c>
      <c r="F33" s="9">
        <f t="shared" si="0"/>
        <v>0</v>
      </c>
    </row>
    <row r="34" spans="1:6" x14ac:dyDescent="0.3">
      <c r="A34" s="9">
        <v>33</v>
      </c>
      <c r="B34" s="10">
        <v>1</v>
      </c>
      <c r="C34" s="10">
        <v>5</v>
      </c>
      <c r="D34" s="9">
        <f>IF(B34&lt;=Parameters!$C$6,1,0)</f>
        <v>1</v>
      </c>
      <c r="E34" s="9">
        <f>IF(C34&lt;=Parameters!$C$6,1,0)</f>
        <v>0</v>
      </c>
      <c r="F34" s="9">
        <f t="shared" ref="F34:F61" si="1">D34*E34</f>
        <v>0</v>
      </c>
    </row>
    <row r="35" spans="1:6" x14ac:dyDescent="0.3">
      <c r="A35" s="9">
        <v>34</v>
      </c>
      <c r="B35" s="10">
        <v>3</v>
      </c>
      <c r="C35" s="10">
        <v>6</v>
      </c>
      <c r="D35" s="9">
        <f>IF(B35&lt;=Parameters!$C$6,1,0)</f>
        <v>1</v>
      </c>
      <c r="E35" s="9">
        <f>IF(C35&lt;=Parameters!$C$6,1,0)</f>
        <v>0</v>
      </c>
      <c r="F35" s="9">
        <f t="shared" si="1"/>
        <v>0</v>
      </c>
    </row>
    <row r="36" spans="1:6" x14ac:dyDescent="0.3">
      <c r="A36" s="9">
        <v>35</v>
      </c>
      <c r="B36" s="10">
        <v>3</v>
      </c>
      <c r="C36" s="10">
        <v>1</v>
      </c>
      <c r="D36" s="9">
        <f>IF(B36&lt;=Parameters!$C$6,1,0)</f>
        <v>1</v>
      </c>
      <c r="E36" s="9">
        <f>IF(C36&lt;=Parameters!$C$6,1,0)</f>
        <v>1</v>
      </c>
      <c r="F36" s="9">
        <f t="shared" si="1"/>
        <v>1</v>
      </c>
    </row>
    <row r="37" spans="1:6" x14ac:dyDescent="0.3">
      <c r="A37" s="9">
        <v>36</v>
      </c>
      <c r="B37" s="10">
        <v>5</v>
      </c>
      <c r="C37" s="10">
        <v>3</v>
      </c>
      <c r="D37" s="9">
        <f>IF(B37&lt;=Parameters!$C$6,1,0)</f>
        <v>0</v>
      </c>
      <c r="E37" s="9">
        <f>IF(C37&lt;=Parameters!$C$6,1,0)</f>
        <v>1</v>
      </c>
      <c r="F37" s="9">
        <f t="shared" si="1"/>
        <v>0</v>
      </c>
    </row>
    <row r="38" spans="1:6" x14ac:dyDescent="0.3">
      <c r="A38" s="9">
        <v>37</v>
      </c>
      <c r="B38" s="10">
        <v>3</v>
      </c>
      <c r="C38" s="10">
        <v>5</v>
      </c>
      <c r="D38" s="9">
        <f>IF(B38&lt;=Parameters!$C$6,1,0)</f>
        <v>1</v>
      </c>
      <c r="E38" s="9">
        <f>IF(C38&lt;=Parameters!$C$6,1,0)</f>
        <v>0</v>
      </c>
      <c r="F38" s="9">
        <f t="shared" si="1"/>
        <v>0</v>
      </c>
    </row>
    <row r="39" spans="1:6" x14ac:dyDescent="0.3">
      <c r="A39" s="9">
        <v>38</v>
      </c>
      <c r="B39" s="10">
        <v>4</v>
      </c>
      <c r="C39" s="10">
        <v>5</v>
      </c>
      <c r="D39" s="9">
        <f>IF(B39&lt;=Parameters!$C$6,1,0)</f>
        <v>0</v>
      </c>
      <c r="E39" s="9">
        <f>IF(C39&lt;=Parameters!$C$6,1,0)</f>
        <v>0</v>
      </c>
      <c r="F39" s="9">
        <f t="shared" si="1"/>
        <v>0</v>
      </c>
    </row>
    <row r="40" spans="1:6" x14ac:dyDescent="0.3">
      <c r="A40" s="9">
        <v>39</v>
      </c>
      <c r="B40" s="10">
        <v>5</v>
      </c>
      <c r="C40" s="10">
        <v>3</v>
      </c>
      <c r="D40" s="9">
        <f>IF(B40&lt;=Parameters!$C$6,1,0)</f>
        <v>0</v>
      </c>
      <c r="E40" s="9">
        <f>IF(C40&lt;=Parameters!$C$6,1,0)</f>
        <v>1</v>
      </c>
      <c r="F40" s="9">
        <f t="shared" si="1"/>
        <v>0</v>
      </c>
    </row>
    <row r="41" spans="1:6" x14ac:dyDescent="0.3">
      <c r="A41" s="9">
        <v>40</v>
      </c>
      <c r="B41" s="10">
        <v>1</v>
      </c>
      <c r="C41" s="10">
        <v>6</v>
      </c>
      <c r="D41" s="9">
        <f>IF(B41&lt;=Parameters!$C$6,1,0)</f>
        <v>1</v>
      </c>
      <c r="E41" s="9">
        <f>IF(C41&lt;=Parameters!$C$6,1,0)</f>
        <v>0</v>
      </c>
      <c r="F41" s="9">
        <f t="shared" si="1"/>
        <v>0</v>
      </c>
    </row>
    <row r="42" spans="1:6" x14ac:dyDescent="0.3">
      <c r="A42" s="9">
        <v>41</v>
      </c>
      <c r="B42" s="10">
        <v>5</v>
      </c>
      <c r="C42" s="10">
        <v>4</v>
      </c>
      <c r="D42" s="9">
        <f>IF(B42&lt;=Parameters!$C$6,1,0)</f>
        <v>0</v>
      </c>
      <c r="E42" s="9">
        <f>IF(C42&lt;=Parameters!$C$6,1,0)</f>
        <v>0</v>
      </c>
      <c r="F42" s="9">
        <f t="shared" si="1"/>
        <v>0</v>
      </c>
    </row>
    <row r="43" spans="1:6" x14ac:dyDescent="0.3">
      <c r="A43" s="9">
        <v>42</v>
      </c>
      <c r="B43" s="10">
        <v>5</v>
      </c>
      <c r="C43" s="10">
        <v>2</v>
      </c>
      <c r="D43" s="9">
        <f>IF(B43&lt;=Parameters!$C$6,1,0)</f>
        <v>0</v>
      </c>
      <c r="E43" s="9">
        <f>IF(C43&lt;=Parameters!$C$6,1,0)</f>
        <v>1</v>
      </c>
      <c r="F43" s="9">
        <f t="shared" si="1"/>
        <v>0</v>
      </c>
    </row>
    <row r="44" spans="1:6" x14ac:dyDescent="0.3">
      <c r="A44" s="9">
        <v>43</v>
      </c>
      <c r="B44" s="10">
        <v>1</v>
      </c>
      <c r="C44" s="10">
        <v>2</v>
      </c>
      <c r="D44" s="9">
        <f>IF(B44&lt;=Parameters!$C$6,1,0)</f>
        <v>1</v>
      </c>
      <c r="E44" s="9">
        <f>IF(C44&lt;=Parameters!$C$6,1,0)</f>
        <v>1</v>
      </c>
      <c r="F44" s="9">
        <f t="shared" si="1"/>
        <v>1</v>
      </c>
    </row>
    <row r="45" spans="1:6" x14ac:dyDescent="0.3">
      <c r="A45" s="9">
        <v>44</v>
      </c>
      <c r="B45" s="10">
        <v>5</v>
      </c>
      <c r="C45" s="10">
        <v>3</v>
      </c>
      <c r="D45" s="9">
        <f>IF(B45&lt;=Parameters!$C$6,1,0)</f>
        <v>0</v>
      </c>
      <c r="E45" s="9">
        <f>IF(C45&lt;=Parameters!$C$6,1,0)</f>
        <v>1</v>
      </c>
      <c r="F45" s="9">
        <f t="shared" si="1"/>
        <v>0</v>
      </c>
    </row>
    <row r="46" spans="1:6" x14ac:dyDescent="0.3">
      <c r="A46" s="9">
        <v>45</v>
      </c>
      <c r="B46" s="10">
        <v>1</v>
      </c>
      <c r="C46" s="10">
        <v>2</v>
      </c>
      <c r="D46" s="9">
        <f>IF(B46&lt;=Parameters!$C$6,1,0)</f>
        <v>1</v>
      </c>
      <c r="E46" s="9">
        <f>IF(C46&lt;=Parameters!$C$6,1,0)</f>
        <v>1</v>
      </c>
      <c r="F46" s="9">
        <f t="shared" si="1"/>
        <v>1</v>
      </c>
    </row>
    <row r="47" spans="1:6" x14ac:dyDescent="0.3">
      <c r="A47" s="9">
        <v>46</v>
      </c>
      <c r="B47" s="10">
        <v>2</v>
      </c>
      <c r="C47" s="10">
        <v>5</v>
      </c>
      <c r="D47" s="9">
        <f>IF(B47&lt;=Parameters!$C$6,1,0)</f>
        <v>1</v>
      </c>
      <c r="E47" s="9">
        <f>IF(C47&lt;=Parameters!$C$6,1,0)</f>
        <v>0</v>
      </c>
      <c r="F47" s="9">
        <f t="shared" si="1"/>
        <v>0</v>
      </c>
    </row>
    <row r="48" spans="1:6" x14ac:dyDescent="0.3">
      <c r="A48" s="9">
        <v>47</v>
      </c>
      <c r="B48" s="10">
        <v>2</v>
      </c>
      <c r="C48" s="10">
        <v>4</v>
      </c>
      <c r="D48" s="9">
        <f>IF(B48&lt;=Parameters!$C$6,1,0)</f>
        <v>1</v>
      </c>
      <c r="E48" s="9">
        <f>IF(C48&lt;=Parameters!$C$6,1,0)</f>
        <v>0</v>
      </c>
      <c r="F48" s="9">
        <f t="shared" si="1"/>
        <v>0</v>
      </c>
    </row>
    <row r="49" spans="1:6" x14ac:dyDescent="0.3">
      <c r="A49" s="9">
        <v>48</v>
      </c>
      <c r="B49" s="10">
        <v>4</v>
      </c>
      <c r="C49" s="10">
        <v>3</v>
      </c>
      <c r="D49" s="9">
        <f>IF(B49&lt;=Parameters!$C$6,1,0)</f>
        <v>0</v>
      </c>
      <c r="E49" s="9">
        <f>IF(C49&lt;=Parameters!$C$6,1,0)</f>
        <v>1</v>
      </c>
      <c r="F49" s="9">
        <f t="shared" si="1"/>
        <v>0</v>
      </c>
    </row>
    <row r="50" spans="1:6" x14ac:dyDescent="0.3">
      <c r="A50" s="9">
        <v>49</v>
      </c>
      <c r="B50" s="10">
        <v>1</v>
      </c>
      <c r="C50" s="10">
        <v>5</v>
      </c>
      <c r="D50" s="9">
        <f>IF(B50&lt;=Parameters!$C$6,1,0)</f>
        <v>1</v>
      </c>
      <c r="E50" s="9">
        <f>IF(C50&lt;=Parameters!$C$6,1,0)</f>
        <v>0</v>
      </c>
      <c r="F50" s="9">
        <f t="shared" si="1"/>
        <v>0</v>
      </c>
    </row>
    <row r="51" spans="1:6" x14ac:dyDescent="0.3">
      <c r="A51" s="9">
        <v>50</v>
      </c>
      <c r="B51" s="10">
        <v>5</v>
      </c>
      <c r="C51" s="10">
        <v>6</v>
      </c>
      <c r="D51" s="9">
        <f>IF(B51&lt;=Parameters!$C$6,1,0)</f>
        <v>0</v>
      </c>
      <c r="E51" s="9">
        <f>IF(C51&lt;=Parameters!$C$6,1,0)</f>
        <v>0</v>
      </c>
      <c r="F51" s="9">
        <f t="shared" si="1"/>
        <v>0</v>
      </c>
    </row>
    <row r="52" spans="1:6" x14ac:dyDescent="0.3">
      <c r="A52" s="9">
        <v>51</v>
      </c>
      <c r="B52" s="10">
        <v>4</v>
      </c>
      <c r="C52" s="10">
        <v>5</v>
      </c>
      <c r="D52" s="9">
        <f>IF(B52&lt;=Parameters!$C$6,1,0)</f>
        <v>0</v>
      </c>
      <c r="E52" s="9">
        <f>IF(C52&lt;=Parameters!$C$6,1,0)</f>
        <v>0</v>
      </c>
      <c r="F52" s="9">
        <f t="shared" si="1"/>
        <v>0</v>
      </c>
    </row>
    <row r="53" spans="1:6" x14ac:dyDescent="0.3">
      <c r="A53" s="9">
        <v>52</v>
      </c>
      <c r="B53" s="10">
        <v>1</v>
      </c>
      <c r="C53" s="10">
        <v>6</v>
      </c>
      <c r="D53" s="9">
        <f>IF(B53&lt;=Parameters!$C$6,1,0)</f>
        <v>1</v>
      </c>
      <c r="E53" s="9">
        <f>IF(C53&lt;=Parameters!$C$6,1,0)</f>
        <v>0</v>
      </c>
      <c r="F53" s="9">
        <f t="shared" si="1"/>
        <v>0</v>
      </c>
    </row>
    <row r="54" spans="1:6" x14ac:dyDescent="0.3">
      <c r="A54" s="9">
        <v>53</v>
      </c>
      <c r="B54" s="10">
        <v>1</v>
      </c>
      <c r="C54" s="10">
        <v>2</v>
      </c>
      <c r="D54" s="9">
        <f>IF(B54&lt;=Parameters!$C$6,1,0)</f>
        <v>1</v>
      </c>
      <c r="E54" s="9">
        <f>IF(C54&lt;=Parameters!$C$6,1,0)</f>
        <v>1</v>
      </c>
      <c r="F54" s="9">
        <f t="shared" si="1"/>
        <v>1</v>
      </c>
    </row>
    <row r="55" spans="1:6" x14ac:dyDescent="0.3">
      <c r="A55" s="9">
        <v>54</v>
      </c>
      <c r="B55" s="10">
        <v>6</v>
      </c>
      <c r="C55" s="10">
        <v>2</v>
      </c>
      <c r="D55" s="9">
        <f>IF(B55&lt;=Parameters!$C$6,1,0)</f>
        <v>0</v>
      </c>
      <c r="E55" s="9">
        <f>IF(C55&lt;=Parameters!$C$6,1,0)</f>
        <v>1</v>
      </c>
      <c r="F55" s="9">
        <f t="shared" si="1"/>
        <v>0</v>
      </c>
    </row>
    <row r="56" spans="1:6" x14ac:dyDescent="0.3">
      <c r="A56" s="9">
        <v>55</v>
      </c>
      <c r="B56" s="10">
        <v>5</v>
      </c>
      <c r="C56" s="10">
        <v>1</v>
      </c>
      <c r="D56" s="9">
        <f>IF(B56&lt;=Parameters!$C$6,1,0)</f>
        <v>0</v>
      </c>
      <c r="E56" s="9">
        <f>IF(C56&lt;=Parameters!$C$6,1,0)</f>
        <v>1</v>
      </c>
      <c r="F56" s="9">
        <f t="shared" si="1"/>
        <v>0</v>
      </c>
    </row>
    <row r="57" spans="1:6" x14ac:dyDescent="0.3">
      <c r="A57" s="9">
        <v>56</v>
      </c>
      <c r="B57" s="10">
        <v>1</v>
      </c>
      <c r="C57" s="10">
        <v>3</v>
      </c>
      <c r="D57" s="9">
        <f>IF(B57&lt;=Parameters!$C$6,1,0)</f>
        <v>1</v>
      </c>
      <c r="E57" s="9">
        <f>IF(C57&lt;=Parameters!$C$6,1,0)</f>
        <v>1</v>
      </c>
      <c r="F57" s="9">
        <f t="shared" si="1"/>
        <v>1</v>
      </c>
    </row>
    <row r="58" spans="1:6" x14ac:dyDescent="0.3">
      <c r="A58" s="9">
        <v>57</v>
      </c>
      <c r="B58" s="10">
        <v>2</v>
      </c>
      <c r="C58" s="10">
        <v>1</v>
      </c>
      <c r="D58" s="9">
        <f>IF(B58&lt;=Parameters!$C$6,1,0)</f>
        <v>1</v>
      </c>
      <c r="E58" s="9">
        <f>IF(C58&lt;=Parameters!$C$6,1,0)</f>
        <v>1</v>
      </c>
      <c r="F58" s="9">
        <f t="shared" si="1"/>
        <v>1</v>
      </c>
    </row>
    <row r="59" spans="1:6" x14ac:dyDescent="0.3">
      <c r="A59" s="9">
        <v>58</v>
      </c>
      <c r="B59" s="10">
        <v>6</v>
      </c>
      <c r="C59" s="10">
        <v>4</v>
      </c>
      <c r="D59" s="9">
        <f>IF(B59&lt;=Parameters!$C$6,1,0)</f>
        <v>0</v>
      </c>
      <c r="E59" s="9">
        <f>IF(C59&lt;=Parameters!$C$6,1,0)</f>
        <v>0</v>
      </c>
      <c r="F59" s="9">
        <f t="shared" si="1"/>
        <v>0</v>
      </c>
    </row>
    <row r="60" spans="1:6" x14ac:dyDescent="0.3">
      <c r="A60" s="9">
        <v>59</v>
      </c>
      <c r="B60" s="10">
        <v>4</v>
      </c>
      <c r="C60" s="10">
        <v>3</v>
      </c>
      <c r="D60" s="9">
        <f>IF(B60&lt;=Parameters!$C$6,1,0)</f>
        <v>0</v>
      </c>
      <c r="E60" s="9">
        <f>IF(C60&lt;=Parameters!$C$6,1,0)</f>
        <v>1</v>
      </c>
      <c r="F60" s="9">
        <f t="shared" si="1"/>
        <v>0</v>
      </c>
    </row>
    <row r="61" spans="1:6" x14ac:dyDescent="0.3">
      <c r="A61" s="9">
        <v>60</v>
      </c>
      <c r="B61" s="10">
        <v>3</v>
      </c>
      <c r="C61" s="10">
        <v>4</v>
      </c>
      <c r="D61" s="9">
        <f>IF(B61&lt;=Parameters!$C$6,1,0)</f>
        <v>1</v>
      </c>
      <c r="E61" s="9">
        <f>IF(C61&lt;=Parameters!$C$6,1,0)</f>
        <v>0</v>
      </c>
      <c r="F61" s="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22" customWidth="1"/>
    <col min="3" max="3" width="24" customWidth="1"/>
    <col min="4" max="5" width="20" customWidth="1"/>
    <col min="6" max="6" width="22" customWidth="1"/>
  </cols>
  <sheetData>
    <row r="1" spans="1:5" ht="17.399999999999999" x14ac:dyDescent="0.3">
      <c r="A1" s="1" t="s">
        <v>34</v>
      </c>
    </row>
    <row r="3" spans="1:5" ht="27.6" x14ac:dyDescent="0.3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</row>
    <row r="4" spans="1:5" x14ac:dyDescent="0.3">
      <c r="A4" s="11" t="s">
        <v>40</v>
      </c>
      <c r="B4" s="11" t="s">
        <v>41</v>
      </c>
      <c r="C4" s="12">
        <f>COUNT(Data!$D$2:$D$61)</f>
        <v>60</v>
      </c>
      <c r="D4" s="12">
        <f>Parameters!C7</f>
        <v>60</v>
      </c>
      <c r="E4" s="12">
        <f t="shared" ref="E4:E12" si="0">C4-D4</f>
        <v>0</v>
      </c>
    </row>
    <row r="5" spans="1:5" x14ac:dyDescent="0.3">
      <c r="A5" s="11" t="s">
        <v>42</v>
      </c>
      <c r="B5" s="11" t="s">
        <v>43</v>
      </c>
      <c r="C5" s="13">
        <f>AVERAGE(Data!$D$2:$D$61)</f>
        <v>0.55000000000000004</v>
      </c>
      <c r="D5" s="13">
        <f>Parameters!C14</f>
        <v>0.5</v>
      </c>
      <c r="E5" s="13">
        <f t="shared" si="0"/>
        <v>5.0000000000000044E-2</v>
      </c>
    </row>
    <row r="6" spans="1:5" x14ac:dyDescent="0.3">
      <c r="A6" s="11" t="s">
        <v>44</v>
      </c>
      <c r="B6" s="11" t="s">
        <v>43</v>
      </c>
      <c r="C6" s="13">
        <f>AVERAGE(Data!$E$2:$E$61)</f>
        <v>0.5</v>
      </c>
      <c r="D6" s="13">
        <f>Parameters!C14</f>
        <v>0.5</v>
      </c>
      <c r="E6" s="13">
        <f t="shared" si="0"/>
        <v>0</v>
      </c>
    </row>
    <row r="7" spans="1:5" x14ac:dyDescent="0.3">
      <c r="A7" s="11" t="s">
        <v>45</v>
      </c>
      <c r="B7" s="11" t="s">
        <v>46</v>
      </c>
      <c r="C7" s="13">
        <f>_xlfn.VAR.S(Data!$D$2:$D$61)</f>
        <v>0.25169491525423732</v>
      </c>
      <c r="D7" s="13">
        <f>Parameters!C15</f>
        <v>0.25</v>
      </c>
      <c r="E7" s="13">
        <f t="shared" si="0"/>
        <v>1.6949152542373169E-3</v>
      </c>
    </row>
    <row r="8" spans="1:5" x14ac:dyDescent="0.3">
      <c r="A8" s="11" t="s">
        <v>47</v>
      </c>
      <c r="B8" s="11" t="s">
        <v>46</v>
      </c>
      <c r="C8" s="13">
        <f>_xlfn.VAR.S(Data!$E$2:$E$61)</f>
        <v>0.25423728813559321</v>
      </c>
      <c r="D8" s="13">
        <f>Parameters!C15</f>
        <v>0.25</v>
      </c>
      <c r="E8" s="13">
        <f t="shared" si="0"/>
        <v>4.237288135593209E-3</v>
      </c>
    </row>
    <row r="9" spans="1:5" x14ac:dyDescent="0.3">
      <c r="A9" s="11" t="s">
        <v>48</v>
      </c>
      <c r="B9" s="11" t="s">
        <v>49</v>
      </c>
      <c r="C9" s="13">
        <f>_xlfn.COVARIANCE.S(Data!$D$2:$D$61,Data!$E$2:$E$61)</f>
        <v>-4.2372881355932202E-2</v>
      </c>
      <c r="D9" s="13">
        <f>Parameters!C16</f>
        <v>-0.05</v>
      </c>
      <c r="E9" s="13">
        <f t="shared" si="0"/>
        <v>7.6271186440678013E-3</v>
      </c>
    </row>
    <row r="10" spans="1:5" x14ac:dyDescent="0.3">
      <c r="A10" s="11" t="s">
        <v>50</v>
      </c>
      <c r="B10" s="11" t="s">
        <v>51</v>
      </c>
      <c r="C10" s="13">
        <f>CORREL(Data!$D$2:$D$61,Data!$E$2:$E$61)</f>
        <v>-0.16750630254320195</v>
      </c>
      <c r="D10" s="13">
        <f>Parameters!C17</f>
        <v>-0.2</v>
      </c>
      <c r="E10" s="13">
        <f t="shared" si="0"/>
        <v>3.249369745679806E-2</v>
      </c>
    </row>
    <row r="11" spans="1:5" x14ac:dyDescent="0.3">
      <c r="A11" s="11" t="s">
        <v>52</v>
      </c>
      <c r="B11" s="11" t="s">
        <v>53</v>
      </c>
      <c r="C11" s="13">
        <f>COUNTIFS(Data!$D$2:$D$61,1,Data!$E$2:$E$61,1)/COUNTIF(Data!$D$2:$D$61,1)</f>
        <v>0.42424242424242425</v>
      </c>
      <c r="D11" s="13">
        <f>(Parameters!C6-1)/(Parameters!C5-1)</f>
        <v>0.4</v>
      </c>
      <c r="E11" s="13">
        <f t="shared" si="0"/>
        <v>2.4242424242424232E-2</v>
      </c>
    </row>
    <row r="12" spans="1:5" x14ac:dyDescent="0.3">
      <c r="A12" s="11" t="s">
        <v>54</v>
      </c>
      <c r="B12" s="11" t="s">
        <v>53</v>
      </c>
      <c r="C12" s="13">
        <f>COUNTIFS(Data!$D$2:$D$61,0,Data!$E$2:$E$61,1)/COUNTIF(Data!$D$2:$D$61,0)</f>
        <v>0.59259259259259256</v>
      </c>
      <c r="D12" s="13">
        <f>Parameters!C6/(Parameters!C5-1)</f>
        <v>0.6</v>
      </c>
      <c r="E12" s="13">
        <f t="shared" si="0"/>
        <v>-7.4074074074074181E-3</v>
      </c>
    </row>
    <row r="14" spans="1:5" x14ac:dyDescent="0.3">
      <c r="A14" s="5" t="s">
        <v>55</v>
      </c>
      <c r="C14" s="7">
        <f>C9/(SQRT(C7)*SQRT(C8))</f>
        <v>-0.16750630254320201</v>
      </c>
    </row>
    <row r="15" spans="1:5" x14ac:dyDescent="0.3">
      <c r="A15" s="5" t="s">
        <v>56</v>
      </c>
      <c r="C15" s="7">
        <f>(SUM(Data!$F$2:$F$61)-C4*C5*C6)/(C4-1)</f>
        <v>-4.2372881355932202E-2</v>
      </c>
    </row>
    <row r="16" spans="1:5" x14ac:dyDescent="0.3">
      <c r="A16" s="8" t="s">
        <v>57</v>
      </c>
    </row>
    <row r="18" spans="1:6" x14ac:dyDescent="0.3">
      <c r="A18" s="4" t="s">
        <v>58</v>
      </c>
    </row>
    <row r="19" spans="1:6" ht="27.6" x14ac:dyDescent="0.3">
      <c r="A19" s="3" t="s">
        <v>59</v>
      </c>
      <c r="B19" s="3" t="s">
        <v>60</v>
      </c>
      <c r="C19" s="3" t="s">
        <v>61</v>
      </c>
      <c r="D19" s="3" t="s">
        <v>62</v>
      </c>
      <c r="E19" s="3" t="s">
        <v>63</v>
      </c>
      <c r="F19" s="3" t="s">
        <v>64</v>
      </c>
    </row>
    <row r="20" spans="1:6" x14ac:dyDescent="0.3">
      <c r="A20" s="9">
        <v>0</v>
      </c>
      <c r="B20" s="9">
        <v>0</v>
      </c>
      <c r="C20" s="9">
        <f>COUNTIFS(Data!$D$2:$D$61,A20,Data!$E$2:$E$61,B20)</f>
        <v>11</v>
      </c>
      <c r="D20" s="14">
        <f>C20/$C$4</f>
        <v>0.18333333333333332</v>
      </c>
      <c r="E20" s="14">
        <f>Parameters!C13</f>
        <v>0.2</v>
      </c>
      <c r="F20" s="15">
        <f>E20*$C$4</f>
        <v>12</v>
      </c>
    </row>
    <row r="21" spans="1:6" x14ac:dyDescent="0.3">
      <c r="A21" s="9">
        <v>0</v>
      </c>
      <c r="B21" s="9">
        <v>1</v>
      </c>
      <c r="C21" s="9">
        <f>COUNTIFS(Data!$D$2:$D$61,A21,Data!$E$2:$E$61,B21)</f>
        <v>16</v>
      </c>
      <c r="D21" s="14">
        <f>C21/$C$4</f>
        <v>0.26666666666666666</v>
      </c>
      <c r="E21" s="14">
        <f>Parameters!C12</f>
        <v>0.3</v>
      </c>
      <c r="F21" s="15">
        <f>E21*$C$4</f>
        <v>18</v>
      </c>
    </row>
    <row r="22" spans="1:6" x14ac:dyDescent="0.3">
      <c r="A22" s="9">
        <v>1</v>
      </c>
      <c r="B22" s="9">
        <v>0</v>
      </c>
      <c r="C22" s="9">
        <f>COUNTIFS(Data!$D$2:$D$61,A22,Data!$E$2:$E$61,B22)</f>
        <v>19</v>
      </c>
      <c r="D22" s="14">
        <f>C22/$C$4</f>
        <v>0.31666666666666665</v>
      </c>
      <c r="E22" s="14">
        <f>Parameters!C12</f>
        <v>0.3</v>
      </c>
      <c r="F22" s="15">
        <f>E22*$C$4</f>
        <v>18</v>
      </c>
    </row>
    <row r="23" spans="1:6" x14ac:dyDescent="0.3">
      <c r="A23" s="9">
        <v>1</v>
      </c>
      <c r="B23" s="9">
        <v>1</v>
      </c>
      <c r="C23" s="9">
        <f>COUNTIFS(Data!$D$2:$D$61,A23,Data!$E$2:$E$61,B23)</f>
        <v>14</v>
      </c>
      <c r="D23" s="14">
        <f>C23/$C$4</f>
        <v>0.23333333333333334</v>
      </c>
      <c r="E23" s="14">
        <f>Parameters!C11</f>
        <v>0.2</v>
      </c>
      <c r="F23" s="15">
        <f>E23*$C$4</f>
        <v>12</v>
      </c>
    </row>
    <row r="24" spans="1:6" x14ac:dyDescent="0.3">
      <c r="A24" s="4" t="s">
        <v>65</v>
      </c>
      <c r="C24" s="16">
        <f>SUM(C20:C23)</f>
        <v>60</v>
      </c>
      <c r="D24" s="17">
        <f>SUM(D20:D23)</f>
        <v>1</v>
      </c>
      <c r="E24" s="17">
        <f>SUM(E20:E23)</f>
        <v>1</v>
      </c>
      <c r="F24" s="18">
        <f>SUM(F20:F23)</f>
        <v>60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zoomScaleNormal="100" workbookViewId="0"/>
  </sheetViews>
  <sheetFormatPr defaultColWidth="8.6640625" defaultRowHeight="14.4" x14ac:dyDescent="0.3"/>
  <cols>
    <col min="1" max="1" width="130" customWidth="1"/>
  </cols>
  <sheetData>
    <row r="1" spans="1:1" x14ac:dyDescent="0.3">
      <c r="A1" s="4" t="s">
        <v>66</v>
      </c>
    </row>
    <row r="2" spans="1:1" x14ac:dyDescent="0.3">
      <c r="A2" s="5" t="s">
        <v>67</v>
      </c>
    </row>
    <row r="3" spans="1:1" x14ac:dyDescent="0.3">
      <c r="A3" s="5" t="s">
        <v>68</v>
      </c>
    </row>
    <row r="4" spans="1:1" x14ac:dyDescent="0.3">
      <c r="A4" s="5" t="s">
        <v>69</v>
      </c>
    </row>
    <row r="5" spans="1:1" x14ac:dyDescent="0.3">
      <c r="A5" s="5"/>
    </row>
    <row r="6" spans="1:1" x14ac:dyDescent="0.3">
      <c r="A6" s="4" t="s">
        <v>70</v>
      </c>
    </row>
    <row r="7" spans="1:1" x14ac:dyDescent="0.3">
      <c r="A7" s="5" t="s">
        <v>71</v>
      </c>
    </row>
    <row r="8" spans="1:1" x14ac:dyDescent="0.3">
      <c r="A8" s="5" t="s">
        <v>72</v>
      </c>
    </row>
    <row r="9" spans="1:1" x14ac:dyDescent="0.3">
      <c r="A9" s="4"/>
    </row>
    <row r="10" spans="1:1" x14ac:dyDescent="0.3">
      <c r="A10" s="5" t="s">
        <v>73</v>
      </c>
    </row>
    <row r="11" spans="1:1" x14ac:dyDescent="0.3">
      <c r="A11" s="5" t="s">
        <v>74</v>
      </c>
    </row>
    <row r="12" spans="1:1" x14ac:dyDescent="0.3">
      <c r="A12" s="5" t="s">
        <v>75</v>
      </c>
    </row>
    <row r="13" spans="1:1" x14ac:dyDescent="0.3">
      <c r="A13" s="5" t="s">
        <v>76</v>
      </c>
    </row>
    <row r="14" spans="1:1" x14ac:dyDescent="0.3">
      <c r="A14" s="5" t="s">
        <v>77</v>
      </c>
    </row>
    <row r="15" spans="1:1" x14ac:dyDescent="0.3">
      <c r="A15" s="5"/>
    </row>
    <row r="16" spans="1:1" x14ac:dyDescent="0.3">
      <c r="A16" s="5" t="s">
        <v>78</v>
      </c>
    </row>
    <row r="17" spans="1:1" x14ac:dyDescent="0.3">
      <c r="A17" s="5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Data</vt:lpstr>
      <vt:lpstr>Analysis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Erden Imangali</cp:lastModifiedBy>
  <cp:revision>1</cp:revision>
  <dcterms:created xsi:type="dcterms:W3CDTF">2026-10-20T18:15:07Z</dcterms:created>
  <dcterms:modified xsi:type="dcterms:W3CDTF">2026-10-20T19:03:28Z</dcterms:modified>
  <dc:language>en-US</dc:language>
</cp:coreProperties>
</file>